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Sheet!$A$1:$W$11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<sst xmlns="http://schemas.openxmlformats.org/spreadsheetml/2006/main">
  <si>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</si>
  <si>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</si>
  <si>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</si>
  <si>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</si>
  <si>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</si>
  <si>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</si>
  <si>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</si>
  <si>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</si>
  <si>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</si>
  <si>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</si>
  <si>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</si>
  <si>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</si>
  <si>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</si>
  <si>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</si>
  <si>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</si>
  <si>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</si>
  <si>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</si>
  <si>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</si>
  <si>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</si>
  <si>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</si>
  <si>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</si>
  <si>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</si>
  <si>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</si>
  <si>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6108 TERRAPIN CREEK RD</t>
  </si>
  <si>
    <t/>
  </si>
  <si>
    <t>1</t>
  </si>
  <si>
    <t>D</t>
  </si>
  <si>
    <t xml:space="preserve">HARRISON </t>
  </si>
  <si>
    <t>567CAP</t>
  </si>
  <si>
    <t>NEWBERRY PHILLIP &amp; NEWBERRY PAGE AUGUSTA JTRS</t>
  </si>
  <si>
    <t>021-07252-000</t>
  </si>
  <si>
    <t>12/02/24 CC IN OFFICE</t>
  </si>
  <si>
    <t>2689 OLD CAPPS RD</t>
  </si>
  <si>
    <t>AR</t>
  </si>
  <si>
    <t>NEWBERRY PHILLIP</t>
  </si>
  <si>
    <t>72601-7722</t>
  </si>
  <si>
    <t>3147B PRAIRIE VIEW RD</t>
  </si>
  <si>
    <t>HARRISON</t>
  </si>
  <si>
    <t>FRIENDS OF BAKER PRAIRIE INC</t>
  </si>
  <si>
    <t>020-03740-005</t>
  </si>
  <si>
    <t>12/09/24 BY MAIL</t>
  </si>
  <si>
    <t>GOBLIN DRIVE</t>
  </si>
  <si>
    <t>FRIENDS OF BAKER PRAIRIE</t>
  </si>
  <si>
    <t>72601</t>
  </si>
  <si>
    <t>7801 N 144TH EAST</t>
  </si>
  <si>
    <t>OWASSO</t>
  </si>
  <si>
    <t>GRAHAM THADD CHRISTOPHER &amp; VICKIE</t>
  </si>
  <si>
    <t>488-00017-000</t>
  </si>
  <si>
    <t>12/9/2024 ONLINE PAYMENT TPP-2024-12-09T22:45:21.0748578Z</t>
  </si>
  <si>
    <t>OK</t>
  </si>
  <si>
    <t>74055</t>
  </si>
  <si>
    <t>27104 PINE BLUFF LN</t>
  </si>
  <si>
    <t>GOLDEN</t>
  </si>
  <si>
    <t>GEORGE TRICIA &amp; JEREMY</t>
  </si>
  <si>
    <t>020-03740-204C</t>
  </si>
  <si>
    <t>916 GOBLIN DRIVE</t>
  </si>
  <si>
    <t>MO</t>
  </si>
  <si>
    <t>65658</t>
  </si>
  <si>
    <t>200 APPROACH DR</t>
  </si>
  <si>
    <t>DOSHIER BILL</t>
  </si>
  <si>
    <t>020-03770-000</t>
  </si>
  <si>
    <t>12/13/24 IN OFFICE</t>
  </si>
  <si>
    <t>2440 392 HWY</t>
  </si>
  <si>
    <t>DOSHIER BILL F</t>
  </si>
  <si>
    <t>11321 WIDNER LANE</t>
  </si>
  <si>
    <t xml:space="preserve">OMAHA </t>
  </si>
  <si>
    <t>MOORE BOBBY J</t>
  </si>
  <si>
    <t>021-07803-000</t>
  </si>
  <si>
    <t>12/31/24 IN OFFICE</t>
  </si>
  <si>
    <t>5432 DUBUQUE RD</t>
  </si>
  <si>
    <t xml:space="preserve">MOORE BOBBY JOE </t>
  </si>
  <si>
    <t>72662</t>
  </si>
  <si>
    <t>MOORE BILLY K</t>
  </si>
  <si>
    <t>021-07803-001</t>
  </si>
  <si>
    <t>5448 N DUBUQUE RD</t>
  </si>
  <si>
    <t>4306 MOONBEAM DR</t>
  </si>
  <si>
    <t>SHELTON SAM &amp; KAREN</t>
  </si>
  <si>
    <t>543-00004-000</t>
  </si>
  <si>
    <t>12/16/24 BY MAIL PAID BY BANK OZK</t>
  </si>
  <si>
    <t>4306 MOONBEAM DRIVE</t>
  </si>
  <si>
    <t xml:space="preserve">SHELTON KAREN F </t>
  </si>
  <si>
    <t>PO BOX 844</t>
  </si>
  <si>
    <t>TERRAPIN CREEK HOMEOWNERS ASSOCIATION</t>
  </si>
  <si>
    <t>585-00166-000</t>
  </si>
  <si>
    <t>12/23/24 BY MAIL</t>
  </si>
  <si>
    <t>72602</t>
  </si>
  <si>
    <t>923 CHAY DR</t>
  </si>
  <si>
    <t>LAKE CHARLES</t>
  </si>
  <si>
    <t xml:space="preserve">POINDEXTER DERWIN  K &amp; PEGGY</t>
  </si>
  <si>
    <t>488-00036-000</t>
  </si>
  <si>
    <t>12/31/2024 ONLINE PAYMENT TPP-2025-01-01T21:09:12.7783254Z</t>
  </si>
  <si>
    <t>LA</t>
  </si>
  <si>
    <t xml:space="preserve">POINDEXTER DERWIN K &amp; PEGGY </t>
  </si>
  <si>
    <t>70611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</si>
</sst>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45628</v>
      </c>
      <c r="O2" s="3">
        <v>50099979</v>
      </c>
      <c t="s" r="P2" s="1">
        <v>32</v>
      </c>
      <c t="s" r="Q2" s="1">
        <v>33</v>
      </c>
      <c r="R2" s="4">
        <v>151.41</v>
      </c>
      <c r="S2" s="4">
        <v>151.41</v>
      </c>
      <c r="T2" s="1">
        <v>2023</v>
      </c>
      <c t="s" r="U2" s="1">
        <v>34</v>
      </c>
      <c r="V2" s="2">
        <v>45628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45635</v>
      </c>
      <c r="O3" s="3">
        <v>50100110</v>
      </c>
      <c t="s" r="P3" s="1">
        <v>41</v>
      </c>
      <c t="s" r="Q3" s="1">
        <v>33</v>
      </c>
      <c r="R3" s="4">
        <v>45</v>
      </c>
      <c r="S3" s="4">
        <v>45</v>
      </c>
      <c r="T3" s="1">
        <v>2023</v>
      </c>
      <c t="s" r="U3" s="1">
        <v>42</v>
      </c>
      <c r="V3" s="2">
        <v>45635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45</v>
      </c>
      <c r="G4" s="1">
        <v>0</v>
      </c>
      <c t="s" r="H4" s="1">
        <v>28</v>
      </c>
      <c r="I4" s="1">
        <v>45</v>
      </c>
      <c r="J4" s="1">
        <v>45</v>
      </c>
      <c t="s" r="K4" s="1">
        <v>46</v>
      </c>
      <c t="s" r="L4" s="1">
        <v>47</v>
      </c>
      <c t="s" r="M4" s="1">
        <v>48</v>
      </c>
      <c r="N4" s="2">
        <v>45635</v>
      </c>
      <c r="O4" s="3">
        <v>50100146</v>
      </c>
      <c t="s" r="P4" s="1">
        <v>24</v>
      </c>
      <c t="s" r="Q4" s="1">
        <v>49</v>
      </c>
      <c r="R4" s="4">
        <v>605</v>
      </c>
      <c r="S4" s="4">
        <v>605</v>
      </c>
      <c r="T4" s="1">
        <v>2023</v>
      </c>
      <c t="s" r="U4" s="1">
        <v>46</v>
      </c>
      <c r="V4" s="2">
        <v>45635</v>
      </c>
      <c t="s" r="W4" s="1">
        <v>50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52</v>
      </c>
      <c r="G5" s="1">
        <v>0</v>
      </c>
      <c t="s" r="H5" s="1">
        <v>28</v>
      </c>
      <c r="I5" s="1">
        <v>45</v>
      </c>
      <c r="J5" s="1">
        <v>45</v>
      </c>
      <c t="s" r="K5" s="1">
        <v>53</v>
      </c>
      <c t="s" r="L5" s="1">
        <v>54</v>
      </c>
      <c t="s" r="M5" s="1">
        <v>48</v>
      </c>
      <c r="N5" s="2">
        <v>45635</v>
      </c>
      <c r="O5" s="3">
        <v>50100148</v>
      </c>
      <c t="s" r="P5" s="1">
        <v>55</v>
      </c>
      <c t="s" r="Q5" s="1">
        <v>56</v>
      </c>
      <c r="R5" s="4">
        <v>2395.6599999999999</v>
      </c>
      <c r="S5" s="4">
        <v>2395.6599999999999</v>
      </c>
      <c r="T5" s="1">
        <v>2023</v>
      </c>
      <c t="s" r="U5" s="1">
        <v>53</v>
      </c>
      <c r="V5" s="2">
        <v>45635</v>
      </c>
      <c t="s" r="W5" s="1">
        <v>57</v>
      </c>
    </row>
    <row r="6">
      <c t="s" r="A6" s="1">
        <v>58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59</v>
      </c>
      <c t="s" r="L6" s="1">
        <v>60</v>
      </c>
      <c t="s" r="M6" s="1">
        <v>61</v>
      </c>
      <c r="N6" s="2">
        <v>45639</v>
      </c>
      <c r="O6" s="3">
        <v>50100202</v>
      </c>
      <c t="s" r="P6" s="1">
        <v>62</v>
      </c>
      <c t="s" r="Q6" s="1">
        <v>33</v>
      </c>
      <c r="R6" s="4">
        <v>545.58000000000004</v>
      </c>
      <c r="S6" s="4">
        <v>545.58000000000004</v>
      </c>
      <c r="T6" s="1">
        <v>2023</v>
      </c>
      <c t="s" r="U6" s="1">
        <v>63</v>
      </c>
      <c r="V6" s="2">
        <v>45639</v>
      </c>
      <c t="s" r="W6" s="1">
        <v>43</v>
      </c>
    </row>
    <row r="7">
      <c t="s" r="A7" s="1">
        <v>64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65</v>
      </c>
      <c r="G7" s="1">
        <v>0</v>
      </c>
      <c t="s" r="H7" s="1">
        <v>28</v>
      </c>
      <c r="I7" s="1">
        <v>45</v>
      </c>
      <c r="J7" s="1">
        <v>45</v>
      </c>
      <c t="s" r="K7" s="1">
        <v>66</v>
      </c>
      <c t="s" r="L7" s="1">
        <v>67</v>
      </c>
      <c t="s" r="M7" s="1">
        <v>68</v>
      </c>
      <c r="N7" s="2">
        <v>45657</v>
      </c>
      <c r="O7" s="3">
        <v>50100424</v>
      </c>
      <c t="s" r="P7" s="1">
        <v>69</v>
      </c>
      <c t="s" r="Q7" s="1">
        <v>33</v>
      </c>
      <c r="R7" s="4">
        <v>464.37</v>
      </c>
      <c r="S7" s="4">
        <v>464.37</v>
      </c>
      <c r="T7" s="1">
        <v>2023</v>
      </c>
      <c t="s" r="U7" s="1">
        <v>70</v>
      </c>
      <c r="V7" s="2">
        <v>45657</v>
      </c>
      <c t="s" r="W7" s="1">
        <v>71</v>
      </c>
    </row>
    <row r="8">
      <c t="s" r="A8" s="1">
        <v>64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65</v>
      </c>
      <c r="G8" s="1">
        <v>0</v>
      </c>
      <c t="s" r="H8" s="1">
        <v>28</v>
      </c>
      <c r="I8" s="1">
        <v>45</v>
      </c>
      <c r="J8" s="1">
        <v>45</v>
      </c>
      <c t="s" r="K8" s="1">
        <v>72</v>
      </c>
      <c t="s" r="L8" s="1">
        <v>73</v>
      </c>
      <c t="s" r="M8" s="1">
        <v>68</v>
      </c>
      <c r="N8" s="2">
        <v>45657</v>
      </c>
      <c r="O8" s="3">
        <v>50100424</v>
      </c>
      <c t="s" r="P8" s="1">
        <v>74</v>
      </c>
      <c t="s" r="Q8" s="1">
        <v>33</v>
      </c>
      <c r="R8" s="4">
        <v>208.06999999999999</v>
      </c>
      <c r="S8" s="4">
        <v>208.06999999999999</v>
      </c>
      <c r="T8" s="1">
        <v>2023</v>
      </c>
      <c t="s" r="U8" s="1">
        <v>70</v>
      </c>
      <c r="V8" s="2">
        <v>45657</v>
      </c>
      <c t="s" r="W8" s="1">
        <v>71</v>
      </c>
    </row>
    <row r="9">
      <c t="s" r="A9" s="1">
        <v>75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76</v>
      </c>
      <c t="s" r="L9" s="1">
        <v>77</v>
      </c>
      <c t="s" r="M9" s="1">
        <v>78</v>
      </c>
      <c r="N9" s="2">
        <v>45642</v>
      </c>
      <c r="O9" s="3">
        <v>50100240</v>
      </c>
      <c t="s" r="P9" s="1">
        <v>79</v>
      </c>
      <c t="s" r="Q9" s="1">
        <v>33</v>
      </c>
      <c r="R9" s="4">
        <v>1290.1400000000001</v>
      </c>
      <c r="S9" s="4">
        <v>1290.1400000000001</v>
      </c>
      <c r="T9" s="1">
        <v>2023</v>
      </c>
      <c t="s" r="U9" s="1">
        <v>80</v>
      </c>
      <c r="V9" s="2">
        <v>45642</v>
      </c>
      <c t="s" r="W9" s="1">
        <v>43</v>
      </c>
    </row>
    <row r="10">
      <c t="s" r="A10" s="1">
        <v>81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37</v>
      </c>
      <c r="G10" s="1">
        <v>0</v>
      </c>
      <c t="s" r="H10" s="1">
        <v>28</v>
      </c>
      <c r="I10" s="1">
        <v>45</v>
      </c>
      <c r="J10" s="1">
        <v>45</v>
      </c>
      <c t="s" r="K10" s="1">
        <v>82</v>
      </c>
      <c t="s" r="L10" s="1">
        <v>83</v>
      </c>
      <c t="s" r="M10" s="1">
        <v>84</v>
      </c>
      <c r="N10" s="2">
        <v>45649</v>
      </c>
      <c r="O10" s="3">
        <v>50100319</v>
      </c>
      <c t="s" r="P10" s="1">
        <v>24</v>
      </c>
      <c t="s" r="Q10" s="1">
        <v>33</v>
      </c>
      <c r="R10" s="4">
        <v>51.270000000000003</v>
      </c>
      <c r="S10" s="4">
        <v>51.270000000000003</v>
      </c>
      <c r="T10" s="1">
        <v>2023</v>
      </c>
      <c t="s" r="U10" s="1">
        <v>82</v>
      </c>
      <c r="V10" s="2">
        <v>45649</v>
      </c>
      <c t="s" r="W10" s="1">
        <v>85</v>
      </c>
    </row>
    <row r="11">
      <c t="s" r="A11" s="1">
        <v>86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87</v>
      </c>
      <c r="G11" s="1">
        <v>0</v>
      </c>
      <c t="s" r="H11" s="1">
        <v>28</v>
      </c>
      <c r="I11" s="1">
        <v>45</v>
      </c>
      <c r="J11" s="1">
        <v>45</v>
      </c>
      <c t="s" r="K11" s="1">
        <v>88</v>
      </c>
      <c t="s" r="L11" s="1">
        <v>89</v>
      </c>
      <c t="s" r="M11" s="1">
        <v>90</v>
      </c>
      <c r="N11" s="2">
        <v>45657</v>
      </c>
      <c r="O11" s="3">
        <v>50100436</v>
      </c>
      <c t="s" r="P11" s="1">
        <v>24</v>
      </c>
      <c t="s" r="Q11" s="1">
        <v>91</v>
      </c>
      <c r="R11" s="4">
        <v>493</v>
      </c>
      <c r="S11" s="4">
        <v>493</v>
      </c>
      <c r="T11" s="1">
        <v>2023</v>
      </c>
      <c t="s" r="U11" s="1">
        <v>92</v>
      </c>
      <c r="V11" s="2">
        <v>45657</v>
      </c>
      <c t="s" r="W11" s="1">
        <v>93</v>
      </c>
    </row>
    <row r="12">
      <c r="A12" s="5">
        <f>CONCATENATE("",TEXT(SUBTOTAL(3,A2:A11), "#,##0")," Record(s)")</f>
      </c>
    </row>
  </sheetData>
  <autoFilter ref="A1:W11"/>
  <ignoredErrors>
    <ignoredError sqref="A1:W1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2025-01-07T15:53:28Z</dcterms:created>
  <dcterms:modified xsi:type="dcterms:W3CDTF">2025-01-07T15:53:28Z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